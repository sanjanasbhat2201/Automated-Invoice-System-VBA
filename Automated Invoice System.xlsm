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6d07bd5e36d79784/Documents/VBA/"/>
    </mc:Choice>
  </mc:AlternateContent>
  <xr:revisionPtr revIDLastSave="30" documentId="13_ncr:1_{46D7368A-8FC7-4A60-89C4-53B4EEE5E39B}" xr6:coauthVersionLast="47" xr6:coauthVersionMax="47" xr10:uidLastSave="{5727A29E-0954-49B7-BD5B-48E79D056517}"/>
  <bookViews>
    <workbookView minimized="1" xWindow="3696" yWindow="1392" windowWidth="7680" windowHeight="12240" xr2:uid="{00000000-000D-0000-FFFF-FFFF00000000}"/>
  </bookViews>
  <sheets>
    <sheet name="Billing Statement" sheetId="1" r:id="rId1"/>
    <sheet name="Billing Record" sheetId="2" r:id="rId2"/>
    <sheet name="Billing Tracker" sheetId="3" r:id="rId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F2" i="3"/>
  <c r="E2" i="3"/>
  <c r="D2" i="3"/>
  <c r="C2" i="3"/>
  <c r="B2" i="3"/>
  <c r="A2" i="3"/>
  <c r="H2" i="2"/>
  <c r="G2" i="2"/>
  <c r="F2" i="2"/>
  <c r="E2" i="2"/>
  <c r="D2" i="2"/>
  <c r="C2" i="2"/>
  <c r="B2" i="2"/>
  <c r="A2" i="2"/>
  <c r="C25" i="1"/>
  <c r="C23" i="1"/>
  <c r="C22" i="1"/>
  <c r="H15" i="1"/>
  <c r="G2" i="3" s="1"/>
  <c r="F15" i="1"/>
  <c r="C9" i="1"/>
  <c r="C24" i="1" s="1"/>
</calcChain>
</file>

<file path=xl/sharedStrings.xml><?xml version="1.0" encoding="utf-8"?>
<sst xmlns="http://schemas.openxmlformats.org/spreadsheetml/2006/main" count="62" uniqueCount="40">
  <si>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</si>
  <si>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</si>
  <si>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</si>
  <si>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</si>
  <si>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</si>
  <si>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</si>
  <si>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</si>
  <si>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</si>
  <si>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</si>
  <si>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</si>
  <si>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</si>
  <si>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</si>
  <si>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</si>
  <si>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</si>
  <si>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</si>
  <si>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</si>
  <si>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</si>
  <si>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</si>
  <si>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</si>
  <si>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</si>
  <si>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</si>
  <si>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</si>
  <si>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</si>
  <si>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</si>
  <si>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</si>
  <si>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</si>
  <si>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</si>
  <si>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</si>
  <si>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</si>
  <si>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</si>
  <si>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</si>
  <si>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</si>
  <si>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</si>
  <si>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</si>
  <si>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</si>
  <si>
    <t>CUST001</t>
  </si>
  <si>
    <t>ABC Technologies pvt LTD</t>
  </si>
  <si>
    <t>MG Road</t>
  </si>
  <si>
    <t>Bengaluru,karnataka</t>
  </si>
  <si>
    <t xml:space="preserve">laptop stand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</si>
</sst>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44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44" fontId="0" fillId="4" borderId="13" xfId="0" applyNumberFormat="1" applyFill="1" applyBorder="1" applyAlignment="1">
      <alignment wrapText="1"/>
    </xf>
    <xf numFmtId="44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44" fontId="11" fillId="3" borderId="15" xfId="0" applyNumberFormat="1" applyFont="1" applyFill="1" applyBorder="1"/>
    <xf numFmtId="44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  <xf numFmtId="0" fontId="0" fillId="0" borderId="0" xfId="0" applyFont="1" applyAlignment="1">
      <alignment horizontal="left" indent="1"/>
    </xf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4</xdr:row>
      <xdr:rowOff>144780</xdr:rowOff>
    </xdr:from>
    <xdr:to>
      <xdr:col>12</xdr:col>
      <xdr:colOff>541020</xdr:colOff>
      <xdr:row>7</xdr:row>
      <xdr:rowOff>0</xdr:rowOff>
    </xdr:to>
    <xdr:sp macro="[0]!update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8D686A-B2B9-0681-6DE4-D41EECFE5ABC}"/>
            </a:ext>
          </a:extLst>
        </xdr:cNvPr>
        <xdr:cNvSpPr/>
      </xdr:nvSpPr>
      <xdr:spPr>
        <a:xfrm>
          <a:off x="9563100" y="1188720"/>
          <a:ext cx="845820" cy="586740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</a:p>
        <a:p>
          <a:pPr algn="l"/>
          <a:r>
            <a:rPr lang="en-IN" sz="1100"/>
            <a:t>tracker</a:t>
          </a:r>
        </a:p>
      </xdr:txBody>
    </xdr:sp>
    <xdr:clientData/>
  </xdr:twoCellAnchor>
  <xdr:twoCellAnchor>
    <xdr:from>
      <xdr:col>11</xdr:col>
      <xdr:colOff>434340</xdr:colOff>
      <xdr:row>8</xdr:row>
      <xdr:rowOff>205740</xdr:rowOff>
    </xdr:from>
    <xdr:to>
      <xdr:col>12</xdr:col>
      <xdr:colOff>601980</xdr:colOff>
      <xdr:row>11</xdr:row>
      <xdr:rowOff>45720</xdr:rowOff>
    </xdr:to>
    <xdr:sp macro="[0]!updateDetai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99263B-720F-5E61-2BA0-DC12A02E2221}"/>
            </a:ext>
          </a:extLst>
        </xdr:cNvPr>
        <xdr:cNvSpPr/>
      </xdr:nvSpPr>
      <xdr:spPr>
        <a:xfrm>
          <a:off x="9692640" y="2209800"/>
          <a:ext cx="777240" cy="52578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Next</a:t>
          </a:r>
          <a:r>
            <a:rPr lang="en-IN" sz="1100" baseline="0"/>
            <a:t> invoice</a:t>
          </a:r>
          <a:endParaRPr lang="en-IN" sz="1100"/>
        </a:p>
      </xdr:txBody>
    </xdr:sp>
    <xdr:clientData/>
  </xdr:twoCellAnchor>
  <xdr:twoCellAnchor>
    <xdr:from>
      <xdr:col>11</xdr:col>
      <xdr:colOff>548640</xdr:colOff>
      <xdr:row>12</xdr:row>
      <xdr:rowOff>137160</xdr:rowOff>
    </xdr:from>
    <xdr:to>
      <xdr:col>13</xdr:col>
      <xdr:colOff>213360</xdr:colOff>
      <xdr:row>14</xdr:row>
      <xdr:rowOff>160020</xdr:rowOff>
    </xdr:to>
    <xdr:sp macro="[0]!genrateAS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B719C2E-FF63-7541-296D-6F3B61006AB2}"/>
            </a:ext>
          </a:extLst>
        </xdr:cNvPr>
        <xdr:cNvSpPr/>
      </xdr:nvSpPr>
      <xdr:spPr>
        <a:xfrm>
          <a:off x="9806940" y="3055620"/>
          <a:ext cx="883920" cy="464820"/>
        </a:xfrm>
        <a:prstGeom prst="roundRect">
          <a:avLst>
            <a:gd name="adj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Generate</a:t>
          </a:r>
        </a:p>
        <a:p>
          <a:pPr algn="l"/>
          <a:endParaRPr lang="en-IN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IN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PDF</a:t>
          </a:r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topLeftCell="A3" zoomScale="108" workbookViewId="0">
      <selection activeCell="H19" sqref="H19"/>
    </sheetView>
  </sheetViews>
  <sheetFormatPr defaultRowHeight="18" x14ac:dyDescent="0.5"/>
  <cols>
    <col min="1" max="1" width="1.109375" customWidth="1"/>
    <col min="2" max="2" width="16.21875" customWidth="1"/>
    <col min="3" max="3" width="15.6640625" customWidth="1"/>
    <col min="4" max="4" width="20.6640625" customWidth="1"/>
    <col min="5" max="5" width="22.6640625" customWidth="1"/>
    <col min="6" max="8" width="10.6640625" customWidth="1"/>
  </cols>
  <sheetData>
    <row r="1" spans="2:8" ht="28.5" customHeight="1" x14ac:dyDescent="0.5">
      <c r="B1" s="8" t="s">
        <v>0</v>
      </c>
      <c r="C1" s="2"/>
      <c r="D1" s="2"/>
      <c r="E1" s="4"/>
      <c r="F1" s="4"/>
      <c r="G1" s="4"/>
      <c r="H1" s="4"/>
    </row>
    <row r="2" spans="2:8" x14ac:dyDescent="0.5">
      <c r="B2" s="30" t="s">
        <v>1</v>
      </c>
      <c r="C2" s="1"/>
      <c r="D2" s="1"/>
      <c r="E2" s="29" t="s">
        <v>2</v>
      </c>
      <c r="F2" s="11" t="s">
        <v>3</v>
      </c>
      <c r="H2" s="1"/>
    </row>
    <row r="3" spans="2:8" x14ac:dyDescent="0.5">
      <c r="B3" s="30" t="s">
        <v>4</v>
      </c>
      <c r="C3" s="1"/>
      <c r="D3" s="1"/>
      <c r="E3" s="29" t="s">
        <v>5</v>
      </c>
      <c r="F3" s="11" t="s">
        <v>6</v>
      </c>
      <c r="H3" s="1"/>
    </row>
    <row r="4" spans="2:8" x14ac:dyDescent="0.5">
      <c r="B4" s="30" t="s">
        <v>7</v>
      </c>
      <c r="C4" s="1"/>
      <c r="D4" s="1"/>
      <c r="E4" s="29" t="s">
        <v>8</v>
      </c>
      <c r="F4" s="1" t="s">
        <v>9</v>
      </c>
      <c r="G4" s="31"/>
      <c r="H4" s="1"/>
    </row>
    <row r="5" spans="2:8" x14ac:dyDescent="0.5">
      <c r="B5" s="1"/>
      <c r="C5" s="1"/>
      <c r="D5" s="1"/>
      <c r="E5" s="1"/>
      <c r="F5" s="12"/>
      <c r="G5" s="1"/>
      <c r="H5" s="1"/>
    </row>
    <row r="6" spans="2:8" ht="21.6" x14ac:dyDescent="0.55000000000000004">
      <c r="B6" s="5" t="s">
        <v>10</v>
      </c>
      <c r="C6" s="1"/>
      <c r="D6" s="1"/>
      <c r="E6" s="1"/>
      <c r="F6" s="12"/>
      <c r="G6" s="1"/>
      <c r="H6" s="1"/>
    </row>
    <row r="7" spans="2:8" x14ac:dyDescent="0.5">
      <c r="B7" s="1"/>
      <c r="C7" s="1"/>
      <c r="D7" s="1"/>
      <c r="E7" s="1"/>
      <c r="F7" s="12"/>
      <c r="G7" s="1"/>
      <c r="H7" s="1"/>
    </row>
    <row r="8" spans="2:8" x14ac:dyDescent="0.5">
      <c r="B8" s="29" t="s">
        <v>11</v>
      </c>
      <c r="C8" s="1" t="s">
        <v>12</v>
      </c>
      <c r="D8" s="9">
        <v>131</v>
      </c>
      <c r="E8" s="29" t="s">
        <v>13</v>
      </c>
      <c r="F8" s="1" t="s">
        <v>29</v>
      </c>
      <c r="G8" s="33" t="s">
        <v>30</v>
      </c>
      <c r="H8" s="13"/>
    </row>
    <row r="9" spans="2:8" x14ac:dyDescent="0.5">
      <c r="B9" s="29" t="s">
        <v>14</v>
      </c>
      <c r="C9" s="14">
        <f ca="1">TODAY()</f>
        <v>46235</v>
      </c>
      <c r="D9" s="10"/>
      <c r="E9" s="1"/>
      <c r="F9" s="1" t="s">
        <v>15</v>
      </c>
      <c r="G9" t="s">
        <v>36</v>
      </c>
      <c r="H9" s="13"/>
    </row>
    <row r="10" spans="2:8" x14ac:dyDescent="0.5">
      <c r="B10" s="29" t="s">
        <v>16</v>
      </c>
      <c r="C10" s="1" t="s">
        <v>17</v>
      </c>
      <c r="D10" s="46" t="s">
        <v>35</v>
      </c>
      <c r="E10" s="1"/>
      <c r="F10" s="1" t="s">
        <v>1</v>
      </c>
      <c r="G10" s="1" t="s">
        <v>37</v>
      </c>
      <c r="H10" s="13"/>
    </row>
    <row r="11" spans="2:8" x14ac:dyDescent="0.5">
      <c r="B11" s="1"/>
      <c r="C11" s="1"/>
      <c r="D11" s="1"/>
      <c r="E11" s="1"/>
      <c r="F11" s="1" t="s">
        <v>4</v>
      </c>
      <c r="G11" s="1" t="s">
        <v>38</v>
      </c>
      <c r="H11" s="13"/>
    </row>
    <row r="12" spans="2:8" x14ac:dyDescent="0.5">
      <c r="B12" s="1"/>
      <c r="C12" s="1"/>
      <c r="D12" s="1"/>
      <c r="E12" s="1"/>
      <c r="F12" s="1" t="s">
        <v>7</v>
      </c>
      <c r="H12" s="13">
        <v>560001</v>
      </c>
    </row>
    <row r="13" spans="2:8" x14ac:dyDescent="0.5">
      <c r="B13" s="4"/>
      <c r="C13" s="4"/>
      <c r="D13" s="4"/>
      <c r="E13" s="4"/>
      <c r="F13" s="4"/>
      <c r="G13" s="4"/>
      <c r="H13" s="4"/>
    </row>
    <row r="14" spans="2:8" ht="17.25" customHeight="1" x14ac:dyDescent="0.5">
      <c r="B14" s="34" t="s">
        <v>18</v>
      </c>
      <c r="C14" s="34" t="s">
        <v>32</v>
      </c>
      <c r="D14" s="34" t="s">
        <v>33</v>
      </c>
      <c r="E14" s="34" t="s">
        <v>34</v>
      </c>
      <c r="F14" s="34" t="s">
        <v>19</v>
      </c>
      <c r="G14" s="34" t="s">
        <v>20</v>
      </c>
      <c r="H14" s="35" t="s">
        <v>21</v>
      </c>
    </row>
    <row r="15" spans="2:8" ht="18.600000000000001" thickBot="1" x14ac:dyDescent="0.55000000000000004">
      <c r="B15" s="36">
        <v>46235</v>
      </c>
      <c r="C15" s="37">
        <v>130</v>
      </c>
      <c r="D15" s="37"/>
      <c r="E15" s="37"/>
      <c r="F15" s="38">
        <f>D15*E15</f>
        <v>0</v>
      </c>
      <c r="G15" s="38"/>
      <c r="H15" s="39">
        <f>'Billing Statement'!$F$15:$F$15-'Billing Statement'!$G$15:$G$15</f>
        <v>0</v>
      </c>
    </row>
    <row r="16" spans="2:8" x14ac:dyDescent="0.5">
      <c r="B16" s="40">
        <v>46031</v>
      </c>
      <c r="C16" s="41">
        <v>131</v>
      </c>
      <c r="D16" s="41" t="s">
        <v>39</v>
      </c>
      <c r="E16" s="41">
        <v>2</v>
      </c>
      <c r="F16" s="42">
        <v>2000</v>
      </c>
      <c r="G16" s="43">
        <v>2000</v>
      </c>
      <c r="H16" s="32">
        <v>0</v>
      </c>
    </row>
    <row r="17" spans="2:8" x14ac:dyDescent="0.5">
      <c r="B17" s="3" t="s">
        <v>27</v>
      </c>
      <c r="C17" s="6"/>
      <c r="D17" s="7"/>
      <c r="E17" s="7"/>
      <c r="F17" s="1"/>
      <c r="G17" s="4"/>
      <c r="H17" s="4"/>
    </row>
    <row r="18" spans="2:8" x14ac:dyDescent="0.5">
      <c r="B18" s="3" t="s">
        <v>28</v>
      </c>
      <c r="C18" s="6"/>
      <c r="D18" s="1"/>
      <c r="E18" s="1"/>
      <c r="F18" s="1"/>
      <c r="G18" s="4"/>
      <c r="H18" s="4"/>
    </row>
    <row r="19" spans="2:8" x14ac:dyDescent="0.5">
      <c r="B19" s="1"/>
      <c r="C19" s="1"/>
      <c r="D19" s="1"/>
      <c r="E19" s="1"/>
      <c r="F19" s="1"/>
      <c r="G19" s="4"/>
      <c r="H19" s="4"/>
    </row>
    <row r="20" spans="2:8" x14ac:dyDescent="0.5">
      <c r="B20" s="15" t="s">
        <v>22</v>
      </c>
      <c r="C20" s="16"/>
      <c r="D20" s="16"/>
      <c r="E20" s="17"/>
      <c r="F20" s="1"/>
      <c r="G20" s="4"/>
      <c r="H20" s="4"/>
    </row>
    <row r="21" spans="2:8" x14ac:dyDescent="0.5">
      <c r="B21" s="18" t="s">
        <v>23</v>
      </c>
      <c r="C21" s="21" t="s">
        <v>24</v>
      </c>
      <c r="D21" s="21"/>
      <c r="E21" s="22"/>
      <c r="F21" s="1"/>
      <c r="G21" s="4"/>
      <c r="H21" s="4"/>
    </row>
    <row r="22" spans="2:8" x14ac:dyDescent="0.5">
      <c r="B22" s="18" t="s">
        <v>16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5">
      <c r="B23" s="19" t="s">
        <v>11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5">
      <c r="B24" s="19" t="s">
        <v>14</v>
      </c>
      <c r="C24" s="25">
        <f ca="1">C9</f>
        <v>46235</v>
      </c>
      <c r="D24" s="25"/>
      <c r="E24" s="24"/>
      <c r="F24" s="1"/>
      <c r="G24" s="4"/>
      <c r="H24" s="4"/>
    </row>
    <row r="25" spans="2:8" x14ac:dyDescent="0.5">
      <c r="B25" s="19" t="s">
        <v>25</v>
      </c>
      <c r="C25" s="26">
        <f>'Billing Statement'!$H$16</f>
        <v>0</v>
      </c>
      <c r="D25" s="26"/>
      <c r="E25" s="24"/>
      <c r="F25" s="1"/>
      <c r="G25" s="4"/>
      <c r="H25" s="4"/>
    </row>
    <row r="26" spans="2:8" x14ac:dyDescent="0.5">
      <c r="B26" s="20" t="s">
        <v>26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60" fitToHeight="0" orientation="portrait" horizontalDpi="4294967294" r:id="rId1"/>
  <headerFooter>
    <oddHeader xml:space="preserve">&amp;L&amp;K000000
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B7" sqref="B7"/>
    </sheetView>
  </sheetViews>
  <sheetFormatPr defaultRowHeight="18" x14ac:dyDescent="0.5"/>
  <cols>
    <col min="1" max="1" width="10.109375" bestFit="1" customWidth="1"/>
    <col min="2" max="2" width="13.44140625" bestFit="1" customWidth="1"/>
    <col min="3" max="7" width="10.10937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32</v>
      </c>
      <c r="C1" s="45" t="s">
        <v>33</v>
      </c>
      <c r="D1" s="45" t="s">
        <v>34</v>
      </c>
      <c r="E1" s="45" t="s">
        <v>19</v>
      </c>
      <c r="F1" s="45" t="s">
        <v>20</v>
      </c>
      <c r="G1" s="45" t="s">
        <v>21</v>
      </c>
      <c r="H1" s="45" t="s">
        <v>31</v>
      </c>
    </row>
    <row r="2" spans="1:8" x14ac:dyDescent="0.5">
      <c r="A2" s="44">
        <f>'Billing Statement'!B15</f>
        <v>46235</v>
      </c>
      <c r="B2">
        <f>'Billing Statement'!C15</f>
        <v>130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"/>
  <sheetViews>
    <sheetView workbookViewId="0">
      <selection activeCell="A7" sqref="A7:G7"/>
    </sheetView>
  </sheetViews>
  <sheetFormatPr defaultRowHeight="18" x14ac:dyDescent="0.5"/>
  <cols>
    <col min="1" max="1" width="10.33203125" bestFit="1" customWidth="1"/>
    <col min="2" max="2" width="13.44140625" bestFit="1" customWidth="1"/>
    <col min="8" max="8" width="13.109375" bestFit="1" customWidth="1"/>
  </cols>
  <sheetData>
    <row r="1" spans="1:8" x14ac:dyDescent="0.5">
      <c r="A1" s="45" t="s">
        <v>18</v>
      </c>
      <c r="B1" s="45" t="s">
        <v>32</v>
      </c>
      <c r="C1" s="45" t="s">
        <v>33</v>
      </c>
      <c r="D1" s="45" t="s">
        <v>34</v>
      </c>
      <c r="E1" s="45" t="s">
        <v>19</v>
      </c>
      <c r="F1" s="45" t="s">
        <v>20</v>
      </c>
      <c r="G1" s="45" t="s">
        <v>21</v>
      </c>
      <c r="H1" s="45" t="s">
        <v>31</v>
      </c>
    </row>
    <row r="2" spans="1:8" x14ac:dyDescent="0.5">
      <c r="A2" s="44">
        <f>'Billing Statement'!B15</f>
        <v>46235</v>
      </c>
      <c r="B2">
        <f>'Billing Statement'!C15</f>
        <v>130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 t="str">
        <f>'Billing Statement'!G8</f>
        <v>ABC</v>
      </c>
    </row>
    <row r="3" spans="1:8" x14ac:dyDescent="0.5">
      <c r="A3" s="44">
        <v>45315</v>
      </c>
      <c r="B3">
        <v>123</v>
      </c>
      <c r="C3">
        <v>20</v>
      </c>
      <c r="D3">
        <v>2</v>
      </c>
      <c r="E3">
        <v>40</v>
      </c>
      <c r="F3">
        <v>30</v>
      </c>
      <c r="G3">
        <v>10</v>
      </c>
      <c r="H3" t="s">
        <v>30</v>
      </c>
    </row>
    <row r="4" spans="1:8" x14ac:dyDescent="0.5">
      <c r="A4" s="44">
        <v>45315</v>
      </c>
      <c r="B4">
        <v>123</v>
      </c>
      <c r="C4">
        <v>20</v>
      </c>
      <c r="D4">
        <v>2</v>
      </c>
      <c r="E4">
        <v>40</v>
      </c>
      <c r="F4">
        <v>30</v>
      </c>
      <c r="G4">
        <v>10</v>
      </c>
    </row>
    <row r="5" spans="1:8" x14ac:dyDescent="0.5">
      <c r="A5" s="44">
        <v>45315</v>
      </c>
      <c r="B5">
        <v>123</v>
      </c>
      <c r="C5">
        <v>20</v>
      </c>
      <c r="D5">
        <v>2</v>
      </c>
      <c r="E5">
        <v>40</v>
      </c>
      <c r="F5">
        <v>30</v>
      </c>
      <c r="G5">
        <v>10</v>
      </c>
    </row>
    <row r="6" spans="1:8" x14ac:dyDescent="0.5">
      <c r="A6">
        <v>45975</v>
      </c>
      <c r="B6">
        <v>129</v>
      </c>
      <c r="E6">
        <v>0</v>
      </c>
      <c r="G6">
        <v>0</v>
      </c>
    </row>
    <row r="7" spans="1:8" x14ac:dyDescent="0.5">
      <c r="A7">
        <v>45975</v>
      </c>
      <c r="B7">
        <v>129</v>
      </c>
      <c r="E7">
        <v>0</v>
      </c>
      <c r="G7">
        <v>0</v>
      </c>
    </row>
    <row r="15" spans="1:8" x14ac:dyDescent="0.5">
      <c r="B15" s="44">
        <v>45975</v>
      </c>
      <c r="C1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Sanjana Sbhat</cp:lastModifiedBy>
  <cp:lastPrinted>2026-08-01T05:36:33Z</cp:lastPrinted>
  <dcterms:created xsi:type="dcterms:W3CDTF">2006-09-15T19:15:53Z</dcterms:created>
  <dcterms:modified xsi:type="dcterms:W3CDTF">2026-08-01T05:57:40Z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